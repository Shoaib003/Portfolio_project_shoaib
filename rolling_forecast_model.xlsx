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aibmoheby/Desktop/"/>
    </mc:Choice>
  </mc:AlternateContent>
  <xr:revisionPtr revIDLastSave="0" documentId="13_ncr:1_{76748CEA-4C35-0849-82DA-7E6B9DF5A01C}" xr6:coauthVersionLast="47" xr6:coauthVersionMax="47" xr10:uidLastSave="{00000000-0000-0000-0000-000000000000}"/>
  <bookViews>
    <workbookView xWindow="28800" yWindow="600" windowWidth="38400" windowHeight="21000" xr2:uid="{6117C215-5289-DF4F-AE1D-ED224347AA5A}"/>
  </bookViews>
  <sheets>
    <sheet name="Actuals" sheetId="1" r:id="rId1"/>
    <sheet name="Assumptions" sheetId="2" r:id="rId2"/>
    <sheet name="Forecast" sheetId="3" r:id="rId3"/>
    <sheet name="Variance Analysis " sheetId="4" r:id="rId4"/>
    <sheet name="Management KPI" sheetId="5" r:id="rId5"/>
  </sheets>
  <definedNames>
    <definedName name="Revenue">tbl_actuals[Revenue]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C6" i="5"/>
  <c r="C8" i="5"/>
  <c r="B8" i="5"/>
  <c r="C7" i="5"/>
  <c r="B7" i="5" a="1"/>
  <c r="B7" i="5" s="1"/>
  <c r="B6" i="5"/>
  <c r="B5" i="5" a="1"/>
  <c r="B5" i="5" s="1"/>
  <c r="C4" i="5"/>
  <c r="B4" i="5" a="1"/>
  <c r="B4" i="5" s="1"/>
  <c r="B6" i="4" a="1"/>
  <c r="B6" i="4" s="1"/>
  <c r="B5" i="4" a="1"/>
  <c r="B5" i="4" s="1"/>
  <c r="D5" i="3" a="1"/>
  <c r="D5" i="3" s="1"/>
  <c r="D6" i="3" s="1"/>
  <c r="D7" i="3" s="1"/>
  <c r="D8" i="3" s="1"/>
  <c r="D9" i="3" s="1"/>
  <c r="D10" i="3" s="1"/>
  <c r="B10" i="2" a="1"/>
  <c r="B10" i="2" s="1"/>
  <c r="B9" i="2" a="1"/>
  <c r="B9" i="2" s="1"/>
  <c r="B8" i="2" a="1"/>
  <c r="B8" i="2" s="1"/>
  <c r="C6" i="3" l="1"/>
  <c r="E6" i="3" s="1"/>
  <c r="C5" i="3"/>
  <c r="C10" i="3"/>
  <c r="E10" i="3" s="1"/>
  <c r="C9" i="3"/>
  <c r="E9" i="3" s="1"/>
  <c r="C8" i="3"/>
  <c r="E8" i="3" s="1"/>
  <c r="C7" i="3"/>
  <c r="E7" i="3" s="1"/>
  <c r="E5" i="3" l="1"/>
  <c r="C6" i="4" s="1"/>
  <c r="C5" i="4"/>
  <c r="E5" i="4" l="1"/>
  <c r="D5" i="4"/>
  <c r="E6" i="4"/>
  <c r="D6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<sst xmlns="http://schemas.openxmlformats.org/spreadsheetml/2006/main" count="120" uniqueCount="47">
  <si>
    <t>Digital Transformation</t>
  </si>
  <si>
    <t>Public Finance</t>
  </si>
  <si>
    <t>Infrastructure Advisory</t>
  </si>
  <si>
    <t>Date</t>
  </si>
  <si>
    <t>Department</t>
  </si>
  <si>
    <t>Revenue</t>
  </si>
  <si>
    <t>Total Cost</t>
  </si>
  <si>
    <t>Profit</t>
  </si>
  <si>
    <t>Utilization Rate</t>
  </si>
  <si>
    <t>Parameter</t>
  </si>
  <si>
    <t>Base</t>
  </si>
  <si>
    <t>Optimistic</t>
  </si>
  <si>
    <t>Conservative</t>
  </si>
  <si>
    <t>Avg Daily Rate</t>
  </si>
  <si>
    <t>Utilization %</t>
  </si>
  <si>
    <t>Cost Inflation %</t>
  </si>
  <si>
    <t>Scenario</t>
  </si>
  <si>
    <t>Selected Avg Daily Rate</t>
  </si>
  <si>
    <t>Selected Utilization</t>
  </si>
  <si>
    <t>Selected Cost Inflation</t>
  </si>
  <si>
    <t>I used a scenario selector with Xlookup to dynamically switch forecast assumptions without changing formulas</t>
  </si>
  <si>
    <t>Month</t>
  </si>
  <si>
    <t>Available Days</t>
  </si>
  <si>
    <t>Forecast Revenue</t>
  </si>
  <si>
    <t>Forecast Cost</t>
  </si>
  <si>
    <t>Forecast Profit</t>
  </si>
  <si>
    <t>Forecast Cost = Last Actual cost x (1 + Cost Inflation)</t>
  </si>
  <si>
    <t>I built a driver-based forecast in Excel where utilization, daily rates, and inflation assumptions dynamically drive future revenue and profit</t>
  </si>
  <si>
    <t>Make Cost Roll Forward Month by Month</t>
  </si>
  <si>
    <t>First forecast month = last actual cost x (1+inflation)</t>
  </si>
  <si>
    <t>Next forecast month = previous forecast cost x (1+inflation)</t>
  </si>
  <si>
    <t>Metric</t>
  </si>
  <si>
    <t>Actual</t>
  </si>
  <si>
    <t>Forecast</t>
  </si>
  <si>
    <t>I dynamically pulled the most recent actuals and compared them to the next forecast period to highlight short-term performance gaps</t>
  </si>
  <si>
    <t>Variance</t>
  </si>
  <si>
    <t>Variance %</t>
  </si>
  <si>
    <t>Variance mainly driven by utilization assumptions and daily rate changes under selected scenario</t>
  </si>
  <si>
    <t>I compared the latest actuals with the next forecast period and calculated absolute and relative variances to highlight short-term performance gaps and their drivers</t>
  </si>
  <si>
    <t>KPI</t>
  </si>
  <si>
    <t>Forecast (Next Period)</t>
  </si>
  <si>
    <t>Actual (Latest)</t>
  </si>
  <si>
    <t>Profit (EBIT)</t>
  </si>
  <si>
    <t>EBIT Margin</t>
  </si>
  <si>
    <t>Utilization</t>
  </si>
  <si>
    <t>Revenue per Day</t>
  </si>
  <si>
    <t>I created a management KPI sheet that consolidates actuals and forecast into decision-oriented metrics, designed as a handoff to executive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</si>
</sst>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.##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7" fontId="0" fillId="0" borderId="0" xfId="0" applyNumberFormat="1"/>
    <xf numFmtId="14" fontId="0" fillId="0" borderId="0" xfId="0" applyNumberFormat="1"/>
    <xf numFmtId="9" fontId="0" fillId="0" borderId="0" xfId="0" applyNumberFormat="1"/>
    <xf numFmtId="0" fontId="0" fillId="2" borderId="0" xfId="0" applyFill="1"/>
    <xf numFmtId="0" fontId="2" fillId="3" borderId="0" xfId="0" applyFont="1" applyFill="1"/>
    <xf numFmtId="2" fontId="0" fillId="0" borderId="0" xfId="0" applyNumberFormat="1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2" formatCode="0.00"/>
    </dxf>
    <dxf>
      <numFmt numFmtId="2" formatCode="0.00"/>
    </dxf>
    <dxf>
      <numFmt numFmtId="19" formatCode="dd/mm/yy"/>
    </dxf>
    <dxf>
      <numFmt numFmtId="167" formatCode="#.##"/>
    </dxf>
    <dxf>
      <numFmt numFmtId="167" formatCode="#.##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BF16AA-213C-154F-BF02-387D66130DFC}" name="tbl_actuals" displayName="tbl_actuals" ref="A1:F73" totalsRowShown="0">
  <autoFilter ref="A1:F73" xr:uid="{F0BF16AA-213C-154F-BF02-387D66130DFC}"/>
  <tableColumns count="6">
    <tableColumn id="1" xr3:uid="{913FA240-19B4-A148-BA7F-E8B3D51B4025}" name="Date" dataDxfId="9"/>
    <tableColumn id="2" xr3:uid="{31233580-E210-EE49-AF0F-0794E0A9A047}" name="Department"/>
    <tableColumn id="3" xr3:uid="{20BED77D-1B8D-9742-85BE-2221698EB910}" name="Revenue"/>
    <tableColumn id="4" xr3:uid="{D0EC01AB-62AC-4441-93DA-1644D16DD3B3}" name="Total Cost" dataDxfId="8"/>
    <tableColumn id="5" xr3:uid="{5C2F5849-4ADC-AA41-AA94-375D3FAFD3FE}" name="Profit" dataDxfId="7"/>
    <tableColumn id="6" xr3:uid="{F86A1003-422B-2743-AAFA-E570C084F21A}" name="Utilization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57CA46-8D08-0643-B26C-E0018B4A9D06}" name="Table2" displayName="Table2" ref="A4:D7" totalsRowShown="0">
  <autoFilter ref="A4:D7" xr:uid="{D357CA46-8D08-0643-B26C-E0018B4A9D06}"/>
  <tableColumns count="4">
    <tableColumn id="1" xr3:uid="{A37B3218-BF24-9B44-8196-CFCCCE769919}" name="Parameter"/>
    <tableColumn id="2" xr3:uid="{CC2296FA-C289-AB46-AF85-19BFBBADAFD9}" name="Base"/>
    <tableColumn id="3" xr3:uid="{52E1207B-AC28-204B-B532-34F35C59668B}" name="Optimistic"/>
    <tableColumn id="4" xr3:uid="{177C91E7-8C07-8B4D-B284-BA9405DE64D3}" name="Conserva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4809A2-5873-164E-B735-C10DA0DEC059}" name="Table4" displayName="Table4" ref="A4:E10" totalsRowShown="0">
  <autoFilter ref="A4:E10" xr:uid="{BF4809A2-5873-164E-B735-C10DA0DEC059}"/>
  <tableColumns count="5">
    <tableColumn id="1" xr3:uid="{44000049-BE3B-1542-9E82-039E95DBC684}" name="Month" dataDxfId="6"/>
    <tableColumn id="2" xr3:uid="{85D9FFB2-10A2-274B-B801-A0DCE2E04C99}" name="Available Days"/>
    <tableColumn id="3" xr3:uid="{AD34AE6E-0FA8-8C43-9E86-1FAAA195F98B}" name="Forecast Revenue">
      <calculatedColumnFormula>B5*Assumptions!$B$9*Assumptions!$B$8</calculatedColumnFormula>
    </tableColumn>
    <tableColumn id="4" xr3:uid="{25E2685E-E434-9541-9CAF-0217AA50CD9A}" name="Forecast Cost" dataDxfId="4">
      <calculatedColumnFormula array="1">LOOKUP(2,1/(Actuals!$A:$A&lt;&gt;""),Actuals!$D:$D) * (1 + Assumptions!$B$10)</calculatedColumnFormula>
    </tableColumn>
    <tableColumn id="5" xr3:uid="{AF09740A-5DBB-444D-978B-97A2AABD4836}" name="Forecast Profit" dataDxfId="5">
      <calculatedColumnFormula>C5-D5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665660-6650-584C-B722-F77CC3730FE6}" name="Table5" displayName="Table5" ref="A4:E6" totalsRowShown="0">
  <autoFilter ref="A4:E6" xr:uid="{B9665660-6650-584C-B722-F77CC3730FE6}"/>
  <tableColumns count="5">
    <tableColumn id="1" xr3:uid="{474B68FD-87B4-5043-8DCA-E559822313F9}" name="Metric"/>
    <tableColumn id="2" xr3:uid="{4FB80A65-D617-A144-869A-EC2466287C53}" name="Actual">
      <calculatedColumnFormula array="1">LOOKUP(2,1/(Actuals!$A:$A&lt;&gt;""),Actuals!$E:$E)</calculatedColumnFormula>
    </tableColumn>
    <tableColumn id="3" xr3:uid="{57D66888-2782-FC4C-9D44-0F6C5164C396}" name="Forecast">
      <calculatedColumnFormula>Forecast!E4</calculatedColumnFormula>
    </tableColumn>
    <tableColumn id="4" xr3:uid="{D1FEEB5F-B5E2-5B4F-84BB-9781B664A494}" name="Variance" dataDxfId="3">
      <calculatedColumnFormula>Table5[[#This Row],[Forecast]]-Table5[[#This Row],[Actual]]</calculatedColumnFormula>
    </tableColumn>
    <tableColumn id="5" xr3:uid="{D8CCF1C7-A137-D444-A23B-077FFDE705D8}" name="Variance %" dataCellStyle="Per cent">
      <calculatedColumnFormula>IF(B5=0,"",(C5-B5)/B5)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C1241D-AF42-944E-AA99-5F6EF2029A8F}" name="Table6" displayName="Table6" ref="A3:C8" totalsRowShown="0">
  <autoFilter ref="A3:C8" xr:uid="{19C1241D-AF42-944E-AA99-5F6EF2029A8F}"/>
  <tableColumns count="3">
    <tableColumn id="1" xr3:uid="{F1D3B95A-7BFC-7248-BA2E-620E19B95F43}" name="KPI"/>
    <tableColumn id="2" xr3:uid="{6A213F84-5A14-A14C-A1EB-DA3DB368BD96}" name="Actual (Latest)"/>
    <tableColumn id="3" xr3:uid="{5F33FBF2-B614-5048-9F53-67588C93D1F4}" name="Forecast (Next Perio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B6D9-0C90-314D-BE22-DF9474EF7A20}">
  <dimension ref="A1:F73"/>
  <sheetViews>
    <sheetView tabSelected="1" zoomScale="150" zoomScaleNormal="100" workbookViewId="0">
      <selection activeCell="H3" sqref="H3"/>
    </sheetView>
  </sheetViews>
  <sheetFormatPr baseColWidth="10" defaultRowHeight="16" x14ac:dyDescent="0.2"/>
  <cols>
    <col min="1" max="1" width="12" bestFit="1" customWidth="1"/>
    <col min="2" max="2" width="19.5" bestFit="1" customWidth="1"/>
    <col min="3" max="3" width="10" customWidth="1"/>
    <col min="4" max="4" width="11.83203125" customWidth="1"/>
    <col min="5" max="5" width="10.1640625" bestFit="1" customWidth="1"/>
    <col min="6" max="6" width="15.83203125" customWidth="1"/>
  </cols>
  <sheetData>
    <row r="1" spans="1:6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">
      <c r="A2" s="2">
        <v>44957</v>
      </c>
      <c r="B2" t="s">
        <v>0</v>
      </c>
      <c r="C2">
        <v>16888.91</v>
      </c>
      <c r="D2" s="1">
        <v>11720.22</v>
      </c>
      <c r="E2" s="1">
        <v>5168.6899999999996</v>
      </c>
      <c r="F2">
        <v>0.77400000000000002</v>
      </c>
    </row>
    <row r="3" spans="1:6" x14ac:dyDescent="0.2">
      <c r="A3" s="2">
        <v>44985</v>
      </c>
      <c r="B3" t="s">
        <v>0</v>
      </c>
      <c r="C3">
        <v>19441.45</v>
      </c>
      <c r="D3" s="1">
        <v>14948.93</v>
      </c>
      <c r="E3" s="1">
        <v>4492.5200000000004</v>
      </c>
      <c r="F3">
        <v>0.84199999999999997</v>
      </c>
    </row>
    <row r="4" spans="1:6" x14ac:dyDescent="0.2">
      <c r="A4" s="2">
        <v>45016</v>
      </c>
      <c r="B4" t="s">
        <v>0</v>
      </c>
      <c r="C4">
        <v>16711.45</v>
      </c>
      <c r="D4" s="1">
        <v>12164.62</v>
      </c>
      <c r="E4" s="1">
        <v>4546.83</v>
      </c>
      <c r="F4">
        <v>0.72699999999999998</v>
      </c>
    </row>
    <row r="5" spans="1:6" x14ac:dyDescent="0.2">
      <c r="A5" s="2">
        <v>45046</v>
      </c>
      <c r="B5" t="s">
        <v>0</v>
      </c>
      <c r="C5">
        <v>16346.3</v>
      </c>
      <c r="D5" s="1">
        <v>12374.01</v>
      </c>
      <c r="E5" s="1">
        <v>3972.29</v>
      </c>
      <c r="F5">
        <v>0.77300000000000002</v>
      </c>
    </row>
    <row r="6" spans="1:6" x14ac:dyDescent="0.2">
      <c r="A6" s="2">
        <v>45077</v>
      </c>
      <c r="B6" t="s">
        <v>0</v>
      </c>
      <c r="C6">
        <v>20158.54</v>
      </c>
      <c r="D6" s="1">
        <v>13502.77</v>
      </c>
      <c r="E6" s="1">
        <v>6655.77</v>
      </c>
      <c r="F6">
        <v>0.88300000000000001</v>
      </c>
    </row>
    <row r="7" spans="1:6" x14ac:dyDescent="0.2">
      <c r="A7" s="2">
        <v>45107</v>
      </c>
      <c r="B7" t="s">
        <v>0</v>
      </c>
      <c r="C7">
        <v>19480.48</v>
      </c>
      <c r="D7" s="1">
        <v>12666.32</v>
      </c>
      <c r="E7" s="1">
        <v>6814.16</v>
      </c>
      <c r="F7">
        <v>0.86799999999999999</v>
      </c>
    </row>
    <row r="8" spans="1:6" x14ac:dyDescent="0.2">
      <c r="A8" s="2">
        <v>45138</v>
      </c>
      <c r="B8" t="s">
        <v>0</v>
      </c>
      <c r="C8">
        <v>16499.349999999999</v>
      </c>
      <c r="D8" s="1">
        <v>11959.52</v>
      </c>
      <c r="E8" s="1">
        <v>4539.83</v>
      </c>
      <c r="F8">
        <v>0.72099999999999997</v>
      </c>
    </row>
    <row r="9" spans="1:6" x14ac:dyDescent="0.2">
      <c r="A9" s="2">
        <v>45169</v>
      </c>
      <c r="B9" t="s">
        <v>0</v>
      </c>
      <c r="C9">
        <v>15457.38</v>
      </c>
      <c r="D9" s="1">
        <v>11903.82</v>
      </c>
      <c r="E9" s="1">
        <v>3553.56</v>
      </c>
      <c r="F9">
        <v>0.67800000000000005</v>
      </c>
    </row>
    <row r="10" spans="1:6" x14ac:dyDescent="0.2">
      <c r="A10" s="2">
        <v>45199</v>
      </c>
      <c r="B10" t="s">
        <v>0</v>
      </c>
      <c r="C10">
        <v>17569.490000000002</v>
      </c>
      <c r="D10" s="1">
        <v>12349.36</v>
      </c>
      <c r="E10" s="1">
        <v>5220.13</v>
      </c>
      <c r="F10">
        <v>0.79900000000000004</v>
      </c>
    </row>
    <row r="11" spans="1:6" x14ac:dyDescent="0.2">
      <c r="A11" s="2">
        <v>45230</v>
      </c>
      <c r="B11" t="s">
        <v>0</v>
      </c>
      <c r="C11">
        <v>16487.099999999999</v>
      </c>
      <c r="D11" s="1">
        <v>11138.08</v>
      </c>
      <c r="E11" s="1">
        <v>5349.02</v>
      </c>
      <c r="F11">
        <v>0.77800000000000002</v>
      </c>
    </row>
    <row r="12" spans="1:6" x14ac:dyDescent="0.2">
      <c r="A12" s="2">
        <v>45260</v>
      </c>
      <c r="B12" t="s">
        <v>0</v>
      </c>
      <c r="C12">
        <v>17377.43</v>
      </c>
      <c r="D12" s="1">
        <v>11309.45</v>
      </c>
      <c r="E12" s="1">
        <v>6067.98</v>
      </c>
      <c r="F12">
        <v>0.77700000000000002</v>
      </c>
    </row>
    <row r="13" spans="1:6" x14ac:dyDescent="0.2">
      <c r="A13" s="2">
        <v>45291</v>
      </c>
      <c r="B13" t="s">
        <v>0</v>
      </c>
      <c r="C13">
        <v>17622.47</v>
      </c>
      <c r="D13" s="1">
        <v>11615.81</v>
      </c>
      <c r="E13" s="1">
        <v>6006.66</v>
      </c>
      <c r="F13">
        <v>0.82799999999999996</v>
      </c>
    </row>
    <row r="14" spans="1:6" x14ac:dyDescent="0.2">
      <c r="A14" s="2">
        <v>45322</v>
      </c>
      <c r="B14" t="s">
        <v>0</v>
      </c>
      <c r="C14">
        <v>18431.09</v>
      </c>
      <c r="D14" s="1">
        <v>13670.39</v>
      </c>
      <c r="E14" s="1">
        <v>4760.7</v>
      </c>
      <c r="F14">
        <v>0.878</v>
      </c>
    </row>
    <row r="15" spans="1:6" x14ac:dyDescent="0.2">
      <c r="A15" s="2">
        <v>45351</v>
      </c>
      <c r="B15" t="s">
        <v>0</v>
      </c>
      <c r="C15">
        <v>16443.900000000001</v>
      </c>
      <c r="D15" s="1">
        <v>12061.15</v>
      </c>
      <c r="E15" s="1">
        <v>4382.75</v>
      </c>
      <c r="F15">
        <v>0.78200000000000003</v>
      </c>
    </row>
    <row r="16" spans="1:6" x14ac:dyDescent="0.2">
      <c r="A16" s="2">
        <v>45382</v>
      </c>
      <c r="B16" t="s">
        <v>0</v>
      </c>
      <c r="C16">
        <v>17056.79</v>
      </c>
      <c r="D16" s="1">
        <v>12315.29</v>
      </c>
      <c r="E16" s="1">
        <v>4741.5</v>
      </c>
      <c r="F16">
        <v>0.76600000000000001</v>
      </c>
    </row>
    <row r="17" spans="1:6" x14ac:dyDescent="0.2">
      <c r="A17" s="2">
        <v>45412</v>
      </c>
      <c r="B17" t="s">
        <v>0</v>
      </c>
      <c r="C17">
        <v>14939.97</v>
      </c>
      <c r="D17" s="1">
        <v>11456.37</v>
      </c>
      <c r="E17" s="1">
        <v>3483.6</v>
      </c>
      <c r="F17">
        <v>0.66500000000000004</v>
      </c>
    </row>
    <row r="18" spans="1:6" x14ac:dyDescent="0.2">
      <c r="A18" s="2">
        <v>45443</v>
      </c>
      <c r="B18" t="s">
        <v>0</v>
      </c>
      <c r="C18">
        <v>15037.71</v>
      </c>
      <c r="D18" s="1">
        <v>10151</v>
      </c>
      <c r="E18" s="1">
        <v>4886.71</v>
      </c>
      <c r="F18">
        <v>0.7</v>
      </c>
    </row>
    <row r="19" spans="1:6" x14ac:dyDescent="0.2">
      <c r="A19" s="2">
        <v>45473</v>
      </c>
      <c r="B19" t="s">
        <v>0</v>
      </c>
      <c r="C19">
        <v>16722.810000000001</v>
      </c>
      <c r="D19" s="1">
        <v>13020.78</v>
      </c>
      <c r="E19" s="1">
        <v>3702.03</v>
      </c>
      <c r="F19">
        <v>0.79</v>
      </c>
    </row>
    <row r="20" spans="1:6" x14ac:dyDescent="0.2">
      <c r="A20" s="2">
        <v>45504</v>
      </c>
      <c r="B20" t="s">
        <v>0</v>
      </c>
      <c r="C20">
        <v>17394.86</v>
      </c>
      <c r="D20" s="1">
        <v>12642.98</v>
      </c>
      <c r="E20" s="1">
        <v>4751.88</v>
      </c>
      <c r="F20">
        <v>0.78400000000000003</v>
      </c>
    </row>
    <row r="21" spans="1:6" x14ac:dyDescent="0.2">
      <c r="A21" s="2">
        <v>45535</v>
      </c>
      <c r="B21" t="s">
        <v>0</v>
      </c>
      <c r="C21">
        <v>16449.16</v>
      </c>
      <c r="D21" s="1">
        <v>12300.18</v>
      </c>
      <c r="E21" s="1">
        <v>4148.9799999999996</v>
      </c>
      <c r="F21">
        <v>0.73699999999999999</v>
      </c>
    </row>
    <row r="22" spans="1:6" x14ac:dyDescent="0.2">
      <c r="A22" s="2">
        <v>45565</v>
      </c>
      <c r="B22" t="s">
        <v>0</v>
      </c>
      <c r="C22">
        <v>15928.87</v>
      </c>
      <c r="D22" s="1">
        <v>11209.95</v>
      </c>
      <c r="E22" s="1">
        <v>4718.92</v>
      </c>
      <c r="F22">
        <v>0.747</v>
      </c>
    </row>
    <row r="23" spans="1:6" x14ac:dyDescent="0.2">
      <c r="A23" s="2">
        <v>45596</v>
      </c>
      <c r="B23" t="s">
        <v>0</v>
      </c>
      <c r="C23">
        <v>16475.2</v>
      </c>
      <c r="D23" s="1">
        <v>12271.61</v>
      </c>
      <c r="E23" s="1">
        <v>4203.59</v>
      </c>
      <c r="F23">
        <v>0.75600000000000001</v>
      </c>
    </row>
    <row r="24" spans="1:6" x14ac:dyDescent="0.2">
      <c r="A24" s="2">
        <v>45626</v>
      </c>
      <c r="B24" t="s">
        <v>0</v>
      </c>
      <c r="C24">
        <v>15981.68</v>
      </c>
      <c r="D24" s="1">
        <v>12313.32</v>
      </c>
      <c r="E24" s="1">
        <v>3668.36</v>
      </c>
      <c r="F24">
        <v>0.751</v>
      </c>
    </row>
    <row r="25" spans="1:6" x14ac:dyDescent="0.2">
      <c r="A25" s="2">
        <v>45657</v>
      </c>
      <c r="B25" t="s">
        <v>0</v>
      </c>
      <c r="C25">
        <v>18475.77</v>
      </c>
      <c r="D25" s="1">
        <v>12552.39</v>
      </c>
      <c r="E25" s="1">
        <v>5923.38</v>
      </c>
      <c r="F25">
        <v>0.81799999999999995</v>
      </c>
    </row>
    <row r="26" spans="1:6" x14ac:dyDescent="0.2">
      <c r="A26" s="2">
        <v>44957</v>
      </c>
      <c r="B26" t="s">
        <v>1</v>
      </c>
      <c r="C26">
        <v>14748.27</v>
      </c>
      <c r="D26" s="1">
        <v>10492.55</v>
      </c>
      <c r="E26" s="1">
        <v>4255.72</v>
      </c>
      <c r="F26">
        <v>0.79300000000000004</v>
      </c>
    </row>
    <row r="27" spans="1:6" x14ac:dyDescent="0.2">
      <c r="A27" s="2">
        <v>44985</v>
      </c>
      <c r="B27" t="s">
        <v>1</v>
      </c>
      <c r="C27">
        <v>13732.78</v>
      </c>
      <c r="D27" s="1">
        <v>9430.8700000000008</v>
      </c>
      <c r="E27" s="1">
        <v>4301.91</v>
      </c>
      <c r="F27">
        <v>0.73499999999999999</v>
      </c>
    </row>
    <row r="28" spans="1:6" x14ac:dyDescent="0.2">
      <c r="A28" s="2">
        <v>45016</v>
      </c>
      <c r="B28" t="s">
        <v>1</v>
      </c>
      <c r="C28">
        <v>16020.22</v>
      </c>
      <c r="D28" s="1">
        <v>11669.94</v>
      </c>
      <c r="E28" s="1">
        <v>4350.28</v>
      </c>
      <c r="F28">
        <v>0.82199999999999995</v>
      </c>
    </row>
    <row r="29" spans="1:6" x14ac:dyDescent="0.2">
      <c r="A29" s="2">
        <v>45046</v>
      </c>
      <c r="B29" t="s">
        <v>1</v>
      </c>
      <c r="C29">
        <v>14201.27</v>
      </c>
      <c r="D29" s="1">
        <v>10800.12</v>
      </c>
      <c r="E29" s="1">
        <v>3401.15</v>
      </c>
      <c r="F29">
        <v>0.72399999999999998</v>
      </c>
    </row>
    <row r="30" spans="1:6" x14ac:dyDescent="0.2">
      <c r="A30" s="2">
        <v>45077</v>
      </c>
      <c r="B30" t="s">
        <v>1</v>
      </c>
      <c r="C30">
        <v>15013.24</v>
      </c>
      <c r="D30" s="1">
        <v>11294.96</v>
      </c>
      <c r="E30" s="1">
        <v>3718.28</v>
      </c>
      <c r="F30">
        <v>0.78400000000000003</v>
      </c>
    </row>
    <row r="31" spans="1:6" x14ac:dyDescent="0.2">
      <c r="A31" s="2">
        <v>45107</v>
      </c>
      <c r="B31" t="s">
        <v>1</v>
      </c>
      <c r="C31">
        <v>14179.51</v>
      </c>
      <c r="D31" s="1">
        <v>10883.1</v>
      </c>
      <c r="E31" s="1">
        <v>3296.41</v>
      </c>
      <c r="F31">
        <v>0.77200000000000002</v>
      </c>
    </row>
    <row r="32" spans="1:6" x14ac:dyDescent="0.2">
      <c r="A32" s="2">
        <v>45138</v>
      </c>
      <c r="B32" t="s">
        <v>1</v>
      </c>
      <c r="C32">
        <v>15864.01</v>
      </c>
      <c r="D32" s="1">
        <v>11113.12</v>
      </c>
      <c r="E32" s="1">
        <v>4750.8900000000003</v>
      </c>
      <c r="F32">
        <v>0.84</v>
      </c>
    </row>
    <row r="33" spans="1:6" x14ac:dyDescent="0.2">
      <c r="A33" s="2">
        <v>45169</v>
      </c>
      <c r="B33" t="s">
        <v>1</v>
      </c>
      <c r="C33">
        <v>14045.85</v>
      </c>
      <c r="D33" s="1">
        <v>10677.22</v>
      </c>
      <c r="E33" s="1">
        <v>3368.63</v>
      </c>
      <c r="F33">
        <v>0.76</v>
      </c>
    </row>
    <row r="34" spans="1:6" x14ac:dyDescent="0.2">
      <c r="A34" s="2">
        <v>45199</v>
      </c>
      <c r="B34" t="s">
        <v>1</v>
      </c>
      <c r="C34">
        <v>12931.41</v>
      </c>
      <c r="D34" s="1">
        <v>9870.2800000000007</v>
      </c>
      <c r="E34" s="1">
        <v>3061.13</v>
      </c>
      <c r="F34">
        <v>0.70599999999999996</v>
      </c>
    </row>
    <row r="35" spans="1:6" x14ac:dyDescent="0.2">
      <c r="A35" s="2">
        <v>45230</v>
      </c>
      <c r="B35" t="s">
        <v>1</v>
      </c>
      <c r="C35">
        <v>15352.5</v>
      </c>
      <c r="D35" s="1">
        <v>10797.1</v>
      </c>
      <c r="E35" s="1">
        <v>4555.3999999999996</v>
      </c>
      <c r="F35">
        <v>0.83699999999999997</v>
      </c>
    </row>
    <row r="36" spans="1:6" x14ac:dyDescent="0.2">
      <c r="A36" s="2">
        <v>45260</v>
      </c>
      <c r="B36" t="s">
        <v>1</v>
      </c>
      <c r="C36">
        <v>15033.81</v>
      </c>
      <c r="D36" s="1">
        <v>11291.69</v>
      </c>
      <c r="E36" s="1">
        <v>3742.12</v>
      </c>
      <c r="F36">
        <v>0.80400000000000005</v>
      </c>
    </row>
    <row r="37" spans="1:6" x14ac:dyDescent="0.2">
      <c r="A37" s="2">
        <v>45291</v>
      </c>
      <c r="B37" t="s">
        <v>1</v>
      </c>
      <c r="C37">
        <v>15586.99</v>
      </c>
      <c r="D37" s="1">
        <v>10674.9</v>
      </c>
      <c r="E37" s="1">
        <v>4912.09</v>
      </c>
      <c r="F37">
        <v>0.79700000000000004</v>
      </c>
    </row>
    <row r="38" spans="1:6" x14ac:dyDescent="0.2">
      <c r="A38" s="2">
        <v>45322</v>
      </c>
      <c r="B38" t="s">
        <v>1</v>
      </c>
      <c r="C38">
        <v>14835.18</v>
      </c>
      <c r="D38" s="1">
        <v>10546.15</v>
      </c>
      <c r="E38" s="1">
        <v>4289.03</v>
      </c>
      <c r="F38">
        <v>0.80100000000000005</v>
      </c>
    </row>
    <row r="39" spans="1:6" x14ac:dyDescent="0.2">
      <c r="A39" s="2">
        <v>45351</v>
      </c>
      <c r="B39" t="s">
        <v>1</v>
      </c>
      <c r="C39">
        <v>16539.87</v>
      </c>
      <c r="D39" s="1">
        <v>12458.51</v>
      </c>
      <c r="E39" s="1">
        <v>4081.36</v>
      </c>
      <c r="F39">
        <v>0.874</v>
      </c>
    </row>
    <row r="40" spans="1:6" x14ac:dyDescent="0.2">
      <c r="A40" s="2">
        <v>45382</v>
      </c>
      <c r="B40" t="s">
        <v>1</v>
      </c>
      <c r="C40">
        <v>15217.41</v>
      </c>
      <c r="D40" s="1">
        <v>11600.4</v>
      </c>
      <c r="E40" s="1">
        <v>3617.01</v>
      </c>
      <c r="F40">
        <v>0.78500000000000003</v>
      </c>
    </row>
    <row r="41" spans="1:6" x14ac:dyDescent="0.2">
      <c r="A41" s="2">
        <v>45412</v>
      </c>
      <c r="B41" t="s">
        <v>1</v>
      </c>
      <c r="C41">
        <v>15391.81</v>
      </c>
      <c r="D41" s="1">
        <v>12251.64</v>
      </c>
      <c r="E41" s="1">
        <v>3140.17</v>
      </c>
      <c r="F41">
        <v>0.81599999999999995</v>
      </c>
    </row>
    <row r="42" spans="1:6" x14ac:dyDescent="0.2">
      <c r="A42" s="2">
        <v>45443</v>
      </c>
      <c r="B42" t="s">
        <v>1</v>
      </c>
      <c r="C42">
        <v>15008.69</v>
      </c>
      <c r="D42" s="1">
        <v>10205.1</v>
      </c>
      <c r="E42" s="1">
        <v>4803.59</v>
      </c>
      <c r="F42">
        <v>0.78300000000000003</v>
      </c>
    </row>
    <row r="43" spans="1:6" x14ac:dyDescent="0.2">
      <c r="A43" s="2">
        <v>45473</v>
      </c>
      <c r="B43" t="s">
        <v>1</v>
      </c>
      <c r="C43">
        <v>15595.42</v>
      </c>
      <c r="D43" s="1">
        <v>11510.26</v>
      </c>
      <c r="E43" s="1">
        <v>4085.16</v>
      </c>
      <c r="F43">
        <v>0.83499999999999996</v>
      </c>
    </row>
    <row r="44" spans="1:6" x14ac:dyDescent="0.2">
      <c r="A44" s="2">
        <v>45504</v>
      </c>
      <c r="B44" t="s">
        <v>1</v>
      </c>
      <c r="C44">
        <v>14101.65</v>
      </c>
      <c r="D44" s="1">
        <v>9624.59</v>
      </c>
      <c r="E44" s="1">
        <v>4477.0600000000004</v>
      </c>
      <c r="F44">
        <v>0.76300000000000001</v>
      </c>
    </row>
    <row r="45" spans="1:6" x14ac:dyDescent="0.2">
      <c r="A45" s="2">
        <v>45535</v>
      </c>
      <c r="B45" t="s">
        <v>1</v>
      </c>
      <c r="C45">
        <v>17086.150000000001</v>
      </c>
      <c r="D45" s="1">
        <v>12347.96</v>
      </c>
      <c r="E45" s="1">
        <v>4738.1899999999996</v>
      </c>
      <c r="F45">
        <v>0.86299999999999999</v>
      </c>
    </row>
    <row r="46" spans="1:6" x14ac:dyDescent="0.2">
      <c r="A46" s="2">
        <v>45565</v>
      </c>
      <c r="B46" t="s">
        <v>1</v>
      </c>
      <c r="C46">
        <v>13960.64</v>
      </c>
      <c r="D46" s="1">
        <v>10883.55</v>
      </c>
      <c r="E46" s="1">
        <v>3077.09</v>
      </c>
      <c r="F46">
        <v>0.76700000000000002</v>
      </c>
    </row>
    <row r="47" spans="1:6" x14ac:dyDescent="0.2">
      <c r="A47" s="2">
        <v>45596</v>
      </c>
      <c r="B47" t="s">
        <v>1</v>
      </c>
      <c r="C47">
        <v>13369.38</v>
      </c>
      <c r="D47" s="1">
        <v>9781.68</v>
      </c>
      <c r="E47" s="1">
        <v>3587.7</v>
      </c>
      <c r="F47">
        <v>0.72499999999999998</v>
      </c>
    </row>
    <row r="48" spans="1:6" x14ac:dyDescent="0.2">
      <c r="A48" s="2">
        <v>45626</v>
      </c>
      <c r="B48" t="s">
        <v>1</v>
      </c>
      <c r="C48">
        <v>14532.47</v>
      </c>
      <c r="D48" s="1">
        <v>10446.379999999999</v>
      </c>
      <c r="E48" s="1">
        <v>4086.09</v>
      </c>
      <c r="F48">
        <v>0.74399999999999999</v>
      </c>
    </row>
    <row r="49" spans="1:6" x14ac:dyDescent="0.2">
      <c r="A49" s="2">
        <v>45657</v>
      </c>
      <c r="B49" t="s">
        <v>1</v>
      </c>
      <c r="C49">
        <v>14406.69</v>
      </c>
      <c r="D49" s="1">
        <v>10620.69</v>
      </c>
      <c r="E49" s="1">
        <v>3786</v>
      </c>
      <c r="F49">
        <v>0.78500000000000003</v>
      </c>
    </row>
    <row r="50" spans="1:6" x14ac:dyDescent="0.2">
      <c r="A50" s="2">
        <v>44957</v>
      </c>
      <c r="B50" t="s">
        <v>2</v>
      </c>
      <c r="C50">
        <v>13801.74</v>
      </c>
      <c r="D50" s="1">
        <v>9820.2099999999991</v>
      </c>
      <c r="E50" s="1">
        <v>3981.53</v>
      </c>
      <c r="F50">
        <v>0.72399999999999998</v>
      </c>
    </row>
    <row r="51" spans="1:6" x14ac:dyDescent="0.2">
      <c r="A51" s="2">
        <v>44985</v>
      </c>
      <c r="B51" t="s">
        <v>2</v>
      </c>
      <c r="C51">
        <v>16885.62</v>
      </c>
      <c r="D51" s="1">
        <v>11711.48</v>
      </c>
      <c r="E51" s="1">
        <v>5174.1400000000003</v>
      </c>
      <c r="F51">
        <v>0.86799999999999999</v>
      </c>
    </row>
    <row r="52" spans="1:6" x14ac:dyDescent="0.2">
      <c r="A52" s="2">
        <v>45016</v>
      </c>
      <c r="B52" t="s">
        <v>2</v>
      </c>
      <c r="C52">
        <v>13801.95</v>
      </c>
      <c r="D52" s="1">
        <v>10081.469999999999</v>
      </c>
      <c r="E52" s="1">
        <v>3720.48</v>
      </c>
      <c r="F52">
        <v>0.71899999999999997</v>
      </c>
    </row>
    <row r="53" spans="1:6" x14ac:dyDescent="0.2">
      <c r="A53" s="2">
        <v>45046</v>
      </c>
      <c r="B53" t="s">
        <v>2</v>
      </c>
      <c r="C53">
        <v>16587.2</v>
      </c>
      <c r="D53" s="1">
        <v>11659.2</v>
      </c>
      <c r="E53" s="1">
        <v>4928</v>
      </c>
      <c r="F53">
        <v>0.81599999999999995</v>
      </c>
    </row>
    <row r="54" spans="1:6" x14ac:dyDescent="0.2">
      <c r="A54" s="2">
        <v>45077</v>
      </c>
      <c r="B54" t="s">
        <v>2</v>
      </c>
      <c r="C54">
        <v>15800.99</v>
      </c>
      <c r="D54" s="1">
        <v>12252.16</v>
      </c>
      <c r="E54" s="1">
        <v>3548.83</v>
      </c>
      <c r="F54">
        <v>0.79600000000000004</v>
      </c>
    </row>
    <row r="55" spans="1:6" x14ac:dyDescent="0.2">
      <c r="A55" s="2">
        <v>45107</v>
      </c>
      <c r="B55" t="s">
        <v>2</v>
      </c>
      <c r="C55">
        <v>14478.45</v>
      </c>
      <c r="D55" s="1">
        <v>10203.34</v>
      </c>
      <c r="E55" s="1">
        <v>4275.1099999999997</v>
      </c>
      <c r="F55">
        <v>0.71699999999999997</v>
      </c>
    </row>
    <row r="56" spans="1:6" x14ac:dyDescent="0.2">
      <c r="A56" s="2">
        <v>45138</v>
      </c>
      <c r="B56" t="s">
        <v>2</v>
      </c>
      <c r="C56">
        <v>16227.81</v>
      </c>
      <c r="D56" s="1">
        <v>11529.72</v>
      </c>
      <c r="E56" s="1">
        <v>4698.09</v>
      </c>
      <c r="F56">
        <v>0.79100000000000004</v>
      </c>
    </row>
    <row r="57" spans="1:6" x14ac:dyDescent="0.2">
      <c r="A57" s="2">
        <v>45169</v>
      </c>
      <c r="B57" t="s">
        <v>2</v>
      </c>
      <c r="C57">
        <v>15387.34</v>
      </c>
      <c r="D57" s="1">
        <v>10239.5</v>
      </c>
      <c r="E57" s="1">
        <v>5147.84</v>
      </c>
      <c r="F57">
        <v>0.77500000000000002</v>
      </c>
    </row>
    <row r="58" spans="1:6" x14ac:dyDescent="0.2">
      <c r="A58" s="2">
        <v>45199</v>
      </c>
      <c r="B58" t="s">
        <v>2</v>
      </c>
      <c r="C58">
        <v>16534.810000000001</v>
      </c>
      <c r="D58" s="1">
        <v>11516.25</v>
      </c>
      <c r="E58" s="1">
        <v>5018.5600000000004</v>
      </c>
      <c r="F58">
        <v>0.78900000000000003</v>
      </c>
    </row>
    <row r="59" spans="1:6" x14ac:dyDescent="0.2">
      <c r="A59" s="2">
        <v>45230</v>
      </c>
      <c r="B59" t="s">
        <v>2</v>
      </c>
      <c r="C59">
        <v>14826.74</v>
      </c>
      <c r="D59" s="1">
        <v>10702</v>
      </c>
      <c r="E59" s="1">
        <v>4124.74</v>
      </c>
      <c r="F59">
        <v>0.77100000000000002</v>
      </c>
    </row>
    <row r="60" spans="1:6" x14ac:dyDescent="0.2">
      <c r="A60" s="2">
        <v>45260</v>
      </c>
      <c r="B60" t="s">
        <v>2</v>
      </c>
      <c r="C60">
        <v>16015.41</v>
      </c>
      <c r="D60" s="1">
        <v>11895.39</v>
      </c>
      <c r="E60" s="1">
        <v>4120.0200000000004</v>
      </c>
      <c r="F60">
        <v>0.79300000000000004</v>
      </c>
    </row>
    <row r="61" spans="1:6" x14ac:dyDescent="0.2">
      <c r="A61" s="2">
        <v>45291</v>
      </c>
      <c r="B61" t="s">
        <v>2</v>
      </c>
      <c r="C61">
        <v>16614.060000000001</v>
      </c>
      <c r="D61" s="1">
        <v>11157.6</v>
      </c>
      <c r="E61" s="1">
        <v>5456.46</v>
      </c>
      <c r="F61">
        <v>0.82899999999999996</v>
      </c>
    </row>
    <row r="62" spans="1:6" x14ac:dyDescent="0.2">
      <c r="A62" s="2">
        <v>45322</v>
      </c>
      <c r="B62" t="s">
        <v>2</v>
      </c>
      <c r="C62">
        <v>14671.77</v>
      </c>
      <c r="D62" s="1">
        <v>10469.27</v>
      </c>
      <c r="E62" s="1">
        <v>4202.5</v>
      </c>
      <c r="F62">
        <v>0.749</v>
      </c>
    </row>
    <row r="63" spans="1:6" x14ac:dyDescent="0.2">
      <c r="A63" s="2">
        <v>45351</v>
      </c>
      <c r="B63" t="s">
        <v>2</v>
      </c>
      <c r="C63">
        <v>14425.64</v>
      </c>
      <c r="D63" s="1">
        <v>11084.44</v>
      </c>
      <c r="E63" s="1">
        <v>3341.2</v>
      </c>
      <c r="F63">
        <v>0.71</v>
      </c>
    </row>
    <row r="64" spans="1:6" x14ac:dyDescent="0.2">
      <c r="A64" s="2">
        <v>45382</v>
      </c>
      <c r="B64" t="s">
        <v>2</v>
      </c>
      <c r="C64">
        <v>15018.9</v>
      </c>
      <c r="D64" s="1">
        <v>11088.23</v>
      </c>
      <c r="E64" s="1">
        <v>3930.67</v>
      </c>
      <c r="F64">
        <v>0.751</v>
      </c>
    </row>
    <row r="65" spans="1:6" x14ac:dyDescent="0.2">
      <c r="A65" s="2">
        <v>45412</v>
      </c>
      <c r="B65" t="s">
        <v>2</v>
      </c>
      <c r="C65">
        <v>16080.77</v>
      </c>
      <c r="D65" s="1">
        <v>11780.68</v>
      </c>
      <c r="E65" s="1">
        <v>4300.09</v>
      </c>
      <c r="F65">
        <v>0.78600000000000003</v>
      </c>
    </row>
    <row r="66" spans="1:6" x14ac:dyDescent="0.2">
      <c r="A66" s="2">
        <v>45443</v>
      </c>
      <c r="B66" t="s">
        <v>2</v>
      </c>
      <c r="C66">
        <v>15862.54</v>
      </c>
      <c r="D66" s="1">
        <v>11187.22</v>
      </c>
      <c r="E66" s="1">
        <v>4675.32</v>
      </c>
      <c r="F66">
        <v>0.81200000000000006</v>
      </c>
    </row>
    <row r="67" spans="1:6" x14ac:dyDescent="0.2">
      <c r="A67" s="2">
        <v>45473</v>
      </c>
      <c r="B67" t="s">
        <v>2</v>
      </c>
      <c r="C67">
        <v>17318.71</v>
      </c>
      <c r="D67" s="1">
        <v>12171.66</v>
      </c>
      <c r="E67" s="1">
        <v>5147.05</v>
      </c>
      <c r="F67">
        <v>0.82899999999999996</v>
      </c>
    </row>
    <row r="68" spans="1:6" x14ac:dyDescent="0.2">
      <c r="A68" s="2">
        <v>45504</v>
      </c>
      <c r="B68" t="s">
        <v>2</v>
      </c>
      <c r="C68">
        <v>16470.509999999998</v>
      </c>
      <c r="D68" s="1">
        <v>12260.17</v>
      </c>
      <c r="E68" s="1">
        <v>4210.34</v>
      </c>
      <c r="F68">
        <v>0.80800000000000005</v>
      </c>
    </row>
    <row r="69" spans="1:6" x14ac:dyDescent="0.2">
      <c r="A69" s="2">
        <v>45535</v>
      </c>
      <c r="B69" t="s">
        <v>2</v>
      </c>
      <c r="C69">
        <v>17421.509999999998</v>
      </c>
      <c r="D69" s="1">
        <v>12413.52</v>
      </c>
      <c r="E69" s="1">
        <v>5007.99</v>
      </c>
      <c r="F69">
        <v>0.83399999999999996</v>
      </c>
    </row>
    <row r="70" spans="1:6" x14ac:dyDescent="0.2">
      <c r="A70" s="2">
        <v>45565</v>
      </c>
      <c r="B70" t="s">
        <v>2</v>
      </c>
      <c r="C70">
        <v>15135.12</v>
      </c>
      <c r="D70" s="1">
        <v>12069.84</v>
      </c>
      <c r="E70" s="1">
        <v>3065.28</v>
      </c>
      <c r="F70">
        <v>0.72599999999999998</v>
      </c>
    </row>
    <row r="71" spans="1:6" x14ac:dyDescent="0.2">
      <c r="A71" s="2">
        <v>45596</v>
      </c>
      <c r="B71" t="s">
        <v>2</v>
      </c>
      <c r="C71">
        <v>16351.9</v>
      </c>
      <c r="D71" s="1">
        <v>12017.43</v>
      </c>
      <c r="E71" s="1">
        <v>4334.47</v>
      </c>
      <c r="F71">
        <v>0.83299999999999996</v>
      </c>
    </row>
    <row r="72" spans="1:6" x14ac:dyDescent="0.2">
      <c r="A72" s="2">
        <v>45626</v>
      </c>
      <c r="B72" t="s">
        <v>2</v>
      </c>
      <c r="C72">
        <v>15568.78</v>
      </c>
      <c r="D72" s="1">
        <v>11087.5</v>
      </c>
      <c r="E72" s="1">
        <v>4481.28</v>
      </c>
      <c r="F72">
        <v>0.79100000000000004</v>
      </c>
    </row>
    <row r="73" spans="1:6" x14ac:dyDescent="0.2">
      <c r="A73" s="2">
        <v>45657</v>
      </c>
      <c r="B73" t="s">
        <v>2</v>
      </c>
      <c r="C73">
        <v>14847.18</v>
      </c>
      <c r="D73" s="1">
        <v>11380.97</v>
      </c>
      <c r="E73" s="1">
        <v>3466.21</v>
      </c>
      <c r="F73">
        <v>0.75600000000000001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4BA6-976C-7749-8CFF-17C65A483A8A}">
  <dimension ref="A1:D12"/>
  <sheetViews>
    <sheetView zoomScale="156" workbookViewId="0">
      <selection activeCell="B1" sqref="B1"/>
    </sheetView>
  </sheetViews>
  <sheetFormatPr baseColWidth="10" defaultRowHeight="16" x14ac:dyDescent="0.2"/>
  <cols>
    <col min="1" max="1" width="20.33203125" bestFit="1" customWidth="1"/>
    <col min="2" max="2" width="11.83203125" bestFit="1" customWidth="1"/>
    <col min="3" max="3" width="11" customWidth="1"/>
    <col min="4" max="4" width="13.1640625" customWidth="1"/>
  </cols>
  <sheetData>
    <row r="1" spans="1:4" x14ac:dyDescent="0.2">
      <c r="A1" s="5" t="s">
        <v>16</v>
      </c>
      <c r="B1" s="4" t="s">
        <v>12</v>
      </c>
    </row>
    <row r="4" spans="1:4" x14ac:dyDescent="0.2">
      <c r="A4" t="s">
        <v>9</v>
      </c>
      <c r="B4" t="s">
        <v>10</v>
      </c>
      <c r="C4" t="s">
        <v>11</v>
      </c>
      <c r="D4" t="s">
        <v>12</v>
      </c>
    </row>
    <row r="5" spans="1:4" x14ac:dyDescent="0.2">
      <c r="A5" t="s">
        <v>13</v>
      </c>
      <c r="B5">
        <v>1000</v>
      </c>
      <c r="C5">
        <v>1050</v>
      </c>
      <c r="D5">
        <v>950</v>
      </c>
    </row>
    <row r="6" spans="1:4" x14ac:dyDescent="0.2">
      <c r="A6" t="s">
        <v>14</v>
      </c>
      <c r="B6" s="3">
        <v>0.78</v>
      </c>
      <c r="C6" s="3">
        <v>0.82</v>
      </c>
      <c r="D6" s="3">
        <v>0.72</v>
      </c>
    </row>
    <row r="7" spans="1:4" x14ac:dyDescent="0.2">
      <c r="A7" t="s">
        <v>15</v>
      </c>
      <c r="B7" s="3">
        <v>0.03</v>
      </c>
      <c r="C7" s="3">
        <v>0.02</v>
      </c>
      <c r="D7" s="3">
        <v>0.05</v>
      </c>
    </row>
    <row r="8" spans="1:4" x14ac:dyDescent="0.2">
      <c r="A8" t="s">
        <v>17</v>
      </c>
      <c r="B8" s="4" cm="1">
        <f t="array" ref="B8">_xlfn.XLOOKUP($B$1, Table2[[#Headers],[Base]:[Conservative]],$B$5:$D$5)</f>
        <v>950</v>
      </c>
    </row>
    <row r="9" spans="1:4" x14ac:dyDescent="0.2">
      <c r="A9" t="s">
        <v>18</v>
      </c>
      <c r="B9" s="4" cm="1">
        <f t="array" ref="B9">_xlfn.XLOOKUP($B$1, Table2[[#Headers],[Base]:[Conservative]],$B$6:$D$6)</f>
        <v>0.72</v>
      </c>
    </row>
    <row r="10" spans="1:4" x14ac:dyDescent="0.2">
      <c r="A10" t="s">
        <v>19</v>
      </c>
      <c r="B10" s="4" cm="1">
        <f t="array" ref="B10">_xlfn.XLOOKUP($B$1,Table2[[#Headers],[Base]:[Conservative]],$B$7:$D$7)</f>
        <v>0.05</v>
      </c>
    </row>
    <row r="12" spans="1:4" x14ac:dyDescent="0.2">
      <c r="A12" t="s">
        <v>20</v>
      </c>
    </row>
  </sheetData>
  <dataValidations count="1">
    <dataValidation type="list" allowBlank="1" showInputMessage="1" showErrorMessage="1" sqref="B1" xr:uid="{2664B22F-1FE2-634C-859D-6B1E12B460E3}">
      <formula1>"Base,Optimistic,Conservative"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EC5F-DA87-3343-99B1-6B714D22E09C}">
  <dimension ref="A4:E17"/>
  <sheetViews>
    <sheetView zoomScale="180" workbookViewId="0">
      <selection activeCell="E10" sqref="E10"/>
    </sheetView>
  </sheetViews>
  <sheetFormatPr baseColWidth="10" defaultRowHeight="16" x14ac:dyDescent="0.2"/>
  <cols>
    <col min="2" max="2" width="14.33203125" customWidth="1"/>
    <col min="3" max="3" width="17" customWidth="1"/>
    <col min="4" max="4" width="13.5" customWidth="1"/>
    <col min="5" max="5" width="14.33203125" customWidth="1"/>
  </cols>
  <sheetData>
    <row r="4" spans="1:5" x14ac:dyDescent="0.2">
      <c r="A4" t="s">
        <v>21</v>
      </c>
      <c r="B4" t="s">
        <v>22</v>
      </c>
      <c r="C4" t="s">
        <v>23</v>
      </c>
      <c r="D4" t="s">
        <v>24</v>
      </c>
      <c r="E4" t="s">
        <v>25</v>
      </c>
    </row>
    <row r="5" spans="1:5" x14ac:dyDescent="0.2">
      <c r="A5" s="2">
        <v>45688</v>
      </c>
      <c r="B5">
        <v>20</v>
      </c>
      <c r="C5">
        <f>B5*Assumptions!$B$9*Assumptions!$B$8</f>
        <v>13679.999999999998</v>
      </c>
      <c r="D5" s="6" cm="1">
        <f t="array" ref="D5">LOOKUP(2,1/(Actuals!$A:$A&lt;&gt;""),Actuals!$D:$D) * (1 + Assumptions!$B$10)</f>
        <v>11950.0185</v>
      </c>
      <c r="E5" s="6">
        <f>C5-D5</f>
        <v>1729.9814999999981</v>
      </c>
    </row>
    <row r="6" spans="1:5" x14ac:dyDescent="0.2">
      <c r="A6" s="2">
        <v>45716</v>
      </c>
      <c r="B6">
        <v>20</v>
      </c>
      <c r="C6">
        <f>B6*Assumptions!$B$9*Assumptions!$B$8</f>
        <v>13679.999999999998</v>
      </c>
      <c r="D6" s="6">
        <f>D5 * (1 + Assumptions!$B$10)</f>
        <v>12547.519425</v>
      </c>
      <c r="E6" s="6">
        <f t="shared" ref="E6:E10" si="0">C6-D6</f>
        <v>1132.4805749999978</v>
      </c>
    </row>
    <row r="7" spans="1:5" x14ac:dyDescent="0.2">
      <c r="A7" s="2">
        <v>45747</v>
      </c>
      <c r="B7">
        <v>20</v>
      </c>
      <c r="C7">
        <f>B7*Assumptions!$B$9*Assumptions!$B$8</f>
        <v>13679.999999999998</v>
      </c>
      <c r="D7" s="6">
        <f>D6 * (1 + Assumptions!$B$10)</f>
        <v>13174.895396250002</v>
      </c>
      <c r="E7" s="6">
        <f t="shared" si="0"/>
        <v>505.10460374999639</v>
      </c>
    </row>
    <row r="8" spans="1:5" x14ac:dyDescent="0.2">
      <c r="A8" s="2">
        <v>45777</v>
      </c>
      <c r="B8">
        <v>20</v>
      </c>
      <c r="C8">
        <f>B8*Assumptions!$B$9*Assumptions!$B$8</f>
        <v>13679.999999999998</v>
      </c>
      <c r="D8" s="6">
        <f>D7 * (1 + Assumptions!$B$10)</f>
        <v>13833.640166062503</v>
      </c>
      <c r="E8" s="6">
        <f t="shared" si="0"/>
        <v>-153.64016606250516</v>
      </c>
    </row>
    <row r="9" spans="1:5" x14ac:dyDescent="0.2">
      <c r="A9" s="2">
        <v>45808</v>
      </c>
      <c r="B9">
        <v>20</v>
      </c>
      <c r="C9">
        <f>B9*Assumptions!$B$9*Assumptions!$B$8</f>
        <v>13679.999999999998</v>
      </c>
      <c r="D9" s="6">
        <f>D8 * (1 + Assumptions!$B$10)</f>
        <v>14525.322174365629</v>
      </c>
      <c r="E9" s="6">
        <f t="shared" si="0"/>
        <v>-845.32217436563042</v>
      </c>
    </row>
    <row r="10" spans="1:5" x14ac:dyDescent="0.2">
      <c r="A10" s="2">
        <v>45838</v>
      </c>
      <c r="B10">
        <v>20</v>
      </c>
      <c r="C10">
        <f>B10*Assumptions!$B$9*Assumptions!$B$8</f>
        <v>13679.999999999998</v>
      </c>
      <c r="D10" s="6">
        <f>D9 * (1 + Assumptions!$B$10)</f>
        <v>15251.588283083911</v>
      </c>
      <c r="E10" s="6">
        <f t="shared" si="0"/>
        <v>-1571.5882830839128</v>
      </c>
    </row>
    <row r="12" spans="1:5" x14ac:dyDescent="0.2">
      <c r="A12" t="s">
        <v>28</v>
      </c>
    </row>
    <row r="13" spans="1:5" x14ac:dyDescent="0.2">
      <c r="A13" t="s">
        <v>29</v>
      </c>
    </row>
    <row r="14" spans="1:5" x14ac:dyDescent="0.2">
      <c r="A14" t="s">
        <v>30</v>
      </c>
    </row>
    <row r="16" spans="1:5" x14ac:dyDescent="0.2">
      <c r="A16" t="s">
        <v>26</v>
      </c>
    </row>
    <row r="17" spans="1:1" x14ac:dyDescent="0.2">
      <c r="A17" t="s">
        <v>27</v>
      </c>
    </row>
  </sheetData>
  <pageMargins left="0.7" right="0.7" top="0.75" bottom="0.75" header="0.3" footer="0.3"/>
  <ignoredErrors>
    <ignoredError sqref="D6:D10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6635-1C04-5F4C-A90A-6F06C4B6138D}">
  <dimension ref="A4:E13"/>
  <sheetViews>
    <sheetView zoomScale="159" workbookViewId="0">
      <selection activeCell="A14" sqref="A14"/>
    </sheetView>
  </sheetViews>
  <sheetFormatPr baseColWidth="10" defaultRowHeight="16" x14ac:dyDescent="0.2"/>
  <sheetData>
    <row r="4" spans="1:5" x14ac:dyDescent="0.2">
      <c r="A4" t="s">
        <v>31</v>
      </c>
      <c r="B4" t="s">
        <v>32</v>
      </c>
      <c r="C4" t="s">
        <v>33</v>
      </c>
      <c r="D4" t="s">
        <v>35</v>
      </c>
      <c r="E4" t="s">
        <v>36</v>
      </c>
    </row>
    <row r="5" spans="1:5" x14ac:dyDescent="0.2">
      <c r="A5" t="s">
        <v>5</v>
      </c>
      <c r="B5" cm="1">
        <f t="array" ref="B5">LOOKUP(2,1/(Actuals!$A:$A&lt;&gt;""),Actuals!$C:$C)</f>
        <v>14847.18</v>
      </c>
      <c r="C5">
        <f>Table4[[#This Row],[Forecast Revenue]]</f>
        <v>13679.999999999998</v>
      </c>
      <c r="D5">
        <f>Table5[[#This Row],[Forecast]]-Table5[[#This Row],[Actual]]</f>
        <v>-1167.1800000000021</v>
      </c>
      <c r="E5" s="7">
        <f t="shared" ref="E5:E6" si="0">IF(B5=0,"",(C5-B5)/B5)</f>
        <v>-7.8612908309861007E-2</v>
      </c>
    </row>
    <row r="6" spans="1:5" x14ac:dyDescent="0.2">
      <c r="A6" t="s">
        <v>7</v>
      </c>
      <c r="B6" cm="1">
        <f t="array" ref="B6">LOOKUP(2,1/(Actuals!$A:$A&lt;&gt;""),Actuals!$E:$E)</f>
        <v>3466.21</v>
      </c>
      <c r="C6" s="6">
        <f>Forecast!E5</f>
        <v>1729.9814999999981</v>
      </c>
      <c r="D6">
        <f>Table5[[#This Row],[Forecast]]-Table5[[#This Row],[Actual]]</f>
        <v>-1736.228500000002</v>
      </c>
      <c r="E6" s="7">
        <f t="shared" si="0"/>
        <v>-0.50090112832171219</v>
      </c>
    </row>
    <row r="9" spans="1:5" x14ac:dyDescent="0.2">
      <c r="A9" t="s">
        <v>34</v>
      </c>
    </row>
    <row r="11" spans="1:5" x14ac:dyDescent="0.2">
      <c r="A11" t="s">
        <v>37</v>
      </c>
    </row>
    <row r="13" spans="1:5" x14ac:dyDescent="0.2">
      <c r="A13" t="s">
        <v>38</v>
      </c>
    </row>
  </sheetData>
  <conditionalFormatting sqref="D5:E6">
    <cfRule type="cellIs" dxfId="2" priority="2" operator="greaterThan">
      <formula>0</formula>
    </cfRule>
    <cfRule type="cellIs" dxfId="1" priority="1" operator="lessThan">
      <formula>0</formula>
    </cfRule>
  </conditionalFormatting>
  <pageMargins left="0.7" right="0.7" top="0.75" bottom="0.75" header="0.3" footer="0.3"/>
  <ignoredErrors>
    <ignoredError sqref="B5:C5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31F5-2774-1B41-B4B1-E1B8648B4A30}">
  <dimension ref="A3:C10"/>
  <sheetViews>
    <sheetView zoomScale="168" workbookViewId="0">
      <selection activeCell="A4" sqref="A4"/>
    </sheetView>
  </sheetViews>
  <sheetFormatPr baseColWidth="10" defaultRowHeight="16" x14ac:dyDescent="0.2"/>
  <cols>
    <col min="1" max="1" width="14.6640625" bestFit="1" customWidth="1"/>
    <col min="2" max="2" width="13.83203125" customWidth="1"/>
    <col min="3" max="3" width="20.33203125" customWidth="1"/>
  </cols>
  <sheetData>
    <row r="3" spans="1:3" x14ac:dyDescent="0.2">
      <c r="A3" t="s">
        <v>39</v>
      </c>
      <c r="B3" t="s">
        <v>41</v>
      </c>
      <c r="C3" t="s">
        <v>40</v>
      </c>
    </row>
    <row r="4" spans="1:3" x14ac:dyDescent="0.2">
      <c r="A4" t="s">
        <v>5</v>
      </c>
      <c r="B4" cm="1">
        <f t="array" ref="B4">LOOKUP(2,1/(Actuals!$A:$A&lt;&gt;""),Actuals!$C:$C)</f>
        <v>14847.18</v>
      </c>
      <c r="C4">
        <f>Forecast!C5</f>
        <v>13679.999999999998</v>
      </c>
    </row>
    <row r="5" spans="1:3" x14ac:dyDescent="0.2">
      <c r="A5" t="s">
        <v>42</v>
      </c>
      <c r="B5" cm="1">
        <f t="array" ref="B5">LOOKUP(2,1/(Actuals!$A:$A&lt;&gt;""),Actuals!$E:$E)</f>
        <v>3466.21</v>
      </c>
      <c r="C5" s="6">
        <f>Table4[[#This Row],[Forecast Profit]]</f>
        <v>1729.9814999999981</v>
      </c>
    </row>
    <row r="6" spans="1:3" x14ac:dyDescent="0.2">
      <c r="A6" t="s">
        <v>43</v>
      </c>
      <c r="B6" s="8">
        <f>B5/B4</f>
        <v>0.23345914847129218</v>
      </c>
      <c r="C6" s="8">
        <f>C5/C4</f>
        <v>0.12646063596491217</v>
      </c>
    </row>
    <row r="7" spans="1:3" x14ac:dyDescent="0.2">
      <c r="A7" t="s">
        <v>44</v>
      </c>
      <c r="B7" cm="1">
        <f t="array" ref="B7">LOOKUP(2,1/(Actuals!$A:$A&lt;&gt;""),Actuals!$F:$F)</f>
        <v>0.75600000000000001</v>
      </c>
      <c r="C7">
        <f>Assumptions!$B$9</f>
        <v>0.72</v>
      </c>
    </row>
    <row r="8" spans="1:3" x14ac:dyDescent="0.2">
      <c r="A8" t="s">
        <v>45</v>
      </c>
      <c r="B8">
        <f>B5 / (20 * B7)</f>
        <v>229.24669312169311</v>
      </c>
      <c r="C8">
        <f>C4/(20*C7)</f>
        <v>950</v>
      </c>
    </row>
    <row r="10" spans="1:3" x14ac:dyDescent="0.2">
      <c r="A10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Actuals</vt:lpstr>
      <vt:lpstr>Assumptions</vt:lpstr>
      <vt:lpstr>Forecast</vt:lpstr>
      <vt:lpstr>Variance Analysis </vt:lpstr>
      <vt:lpstr>Management KPI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moheby</dc:creator>
  <cp:lastModifiedBy>shoaib moheby</cp:lastModifiedBy>
  <dcterms:created xsi:type="dcterms:W3CDTF">2026-01-15T18:43:35Z</dcterms:created>
  <dcterms:modified xsi:type="dcterms:W3CDTF">2026-01-15T20:45:52Z</dcterms:modified>
</cp:coreProperties>
</file>